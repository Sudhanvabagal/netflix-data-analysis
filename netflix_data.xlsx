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Assignment 1\"/>
    </mc:Choice>
  </mc:AlternateContent>
  <xr:revisionPtr revIDLastSave="0" documentId="13_ncr:1_{7B36766D-0302-4B5C-9166-A567AD2185DE}" xr6:coauthVersionLast="47" xr6:coauthVersionMax="47" xr10:uidLastSave="{00000000-0000-0000-0000-000000000000}"/>
  <bookViews>
    <workbookView xWindow="-120" yWindow="-120" windowWidth="29040" windowHeight="15720" xr2:uid="{5A90C310-3D59-4070-8A1E-30DFD4ADC70A}"/>
  </bookViews>
  <sheets>
    <sheet name="Sheet1" sheetId="1" r:id="rId1"/>
  </sheets>
  <definedNames>
    <definedName name="_xlnm._FilterDatabase" localSheetId="0" hidden="1">Sheet1!$A$165:$F$172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" l="1"/>
  <c r="E159" i="1"/>
  <c r="E157" i="1"/>
  <c r="C141" i="1"/>
  <c r="E126" i="1"/>
  <c r="E111" i="1"/>
  <c r="D96" i="1"/>
  <c r="D81" i="1"/>
  <c r="E51" i="1"/>
  <c r="E37" i="1"/>
</calcChain>
</file>

<file path=xl/sharedStrings.xml><?xml version="1.0" encoding="utf-8"?>
<sst xmlns="http://schemas.openxmlformats.org/spreadsheetml/2006/main" count="355" uniqueCount="50">
  <si>
    <t>Product</t>
  </si>
  <si>
    <t>Region</t>
  </si>
  <si>
    <t>Sales Rep</t>
  </si>
  <si>
    <t>Units Sold</t>
  </si>
  <si>
    <t>Sales ($)</t>
  </si>
  <si>
    <t>Date Sold</t>
  </si>
  <si>
    <t>Laptop</t>
  </si>
  <si>
    <t>North</t>
  </si>
  <si>
    <t>John</t>
  </si>
  <si>
    <t>Mouse</t>
  </si>
  <si>
    <t>East</t>
  </si>
  <si>
    <t>Alice</t>
  </si>
  <si>
    <t>Keyboard</t>
  </si>
  <si>
    <t>West</t>
  </si>
  <si>
    <t>Bob</t>
  </si>
  <si>
    <t>Phone</t>
  </si>
  <si>
    <t>Charlie</t>
  </si>
  <si>
    <t>Monitor</t>
  </si>
  <si>
    <t>South</t>
  </si>
  <si>
    <t>David</t>
  </si>
  <si>
    <t>1. Sorting:</t>
  </si>
  <si>
    <t>Ans:-  Here we can see the Region in alphabetical order.</t>
  </si>
  <si>
    <t>Ans:-  sorted data by largest to smallest order and we can see here sales rep JOHN made the highest sale.</t>
  </si>
  <si>
    <t>TOTAL</t>
  </si>
  <si>
    <t>Ans:- After applying the filter for laptops, the total sales amount is $33,000.</t>
  </si>
  <si>
    <t>Ans:- After applying the filter for North Region, the total sales amount is $28,200.</t>
  </si>
  <si>
    <r>
      <t>Task 5</t>
    </r>
    <r>
      <rPr>
        <sz val="14"/>
        <rFont val="Arial"/>
        <family val="2"/>
      </rPr>
      <t xml:space="preserve">: Use the </t>
    </r>
    <r>
      <rPr>
        <sz val="14"/>
        <rFont val="Roboto Mono"/>
      </rPr>
      <t>COUNT()</t>
    </r>
    <r>
      <rPr>
        <sz val="14"/>
        <rFont val="Arial"/>
        <family val="2"/>
      </rPr>
      <t xml:space="preserve"> function to count how many products were sold in total.</t>
    </r>
  </si>
  <si>
    <t>ans:- Total 5 products sold in total  =COUNTA(UNIQUE(A59:A65))</t>
  </si>
  <si>
    <r>
      <t>Task 6</t>
    </r>
    <r>
      <rPr>
        <sz val="14"/>
        <rFont val="Arial"/>
        <family val="2"/>
      </rPr>
      <t xml:space="preserve">: Use the </t>
    </r>
    <r>
      <rPr>
        <sz val="14"/>
        <rFont val="Roboto Mono"/>
      </rPr>
      <t>SUM()</t>
    </r>
    <r>
      <rPr>
        <sz val="14"/>
        <rFont val="Arial"/>
        <family val="2"/>
      </rPr>
      <t xml:space="preserve"> function to calculate the total </t>
    </r>
    <r>
      <rPr>
        <b/>
        <sz val="14"/>
        <rFont val="Arial"/>
        <family val="2"/>
      </rPr>
      <t>Units Sold</t>
    </r>
    <r>
      <rPr>
        <sz val="14"/>
        <rFont val="Arial"/>
        <family val="2"/>
      </rPr>
      <t xml:space="preserve"> for all products.</t>
    </r>
  </si>
  <si>
    <t xml:space="preserve">TOTAL </t>
  </si>
  <si>
    <t>ans:- Total 103 units sold in total =SUM(D73:D79)</t>
  </si>
  <si>
    <t>AVG TOTAL</t>
  </si>
  <si>
    <r>
      <t>Task 7</t>
    </r>
    <r>
      <rPr>
        <sz val="14"/>
        <rFont val="Arial"/>
        <family val="2"/>
      </rPr>
      <t xml:space="preserve">: Use the </t>
    </r>
    <r>
      <rPr>
        <sz val="14"/>
        <rFont val="Roboto Mono"/>
      </rPr>
      <t>AVERAGE()</t>
    </r>
    <r>
      <rPr>
        <sz val="14"/>
        <rFont val="Arial"/>
        <family val="2"/>
      </rPr>
      <t xml:space="preserve"> function to find the average number of </t>
    </r>
    <r>
      <rPr>
        <b/>
        <sz val="14"/>
        <rFont val="Arial"/>
        <family val="2"/>
      </rPr>
      <t>Units Sold</t>
    </r>
    <r>
      <rPr>
        <sz val="14"/>
        <rFont val="Arial"/>
        <family val="2"/>
      </rPr>
      <t xml:space="preserve"> per sale.</t>
    </r>
  </si>
  <si>
    <t>Ans:- The average number of units sold is 15.=AVERAGE(D88:D94)</t>
  </si>
  <si>
    <r>
      <t>Task 8</t>
    </r>
    <r>
      <rPr>
        <sz val="14"/>
        <rFont val="Arial"/>
        <family val="2"/>
      </rPr>
      <t xml:space="preserve">: Use </t>
    </r>
    <r>
      <rPr>
        <sz val="14"/>
        <rFont val="Roboto Mono"/>
      </rPr>
      <t>COUNTIF()</t>
    </r>
    <r>
      <rPr>
        <sz val="14"/>
        <rFont val="Arial"/>
        <family val="2"/>
      </rPr>
      <t xml:space="preserve"> to count how many sales Alice made.</t>
    </r>
  </si>
  <si>
    <t>Ans :-Total 2 sales Alice made . =COUNTIF(C103:C109,"Alice")</t>
  </si>
  <si>
    <r>
      <t>Task 9</t>
    </r>
    <r>
      <rPr>
        <sz val="14"/>
        <rFont val="Arial"/>
        <family val="2"/>
      </rPr>
      <t xml:space="preserve">: Use </t>
    </r>
    <r>
      <rPr>
        <sz val="14"/>
        <rFont val="Roboto Mono"/>
      </rPr>
      <t>SUMIF()</t>
    </r>
    <r>
      <rPr>
        <sz val="14"/>
        <rFont val="Arial"/>
        <family val="2"/>
      </rPr>
      <t xml:space="preserve"> to find out the total sales made in the </t>
    </r>
    <r>
      <rPr>
        <b/>
        <sz val="14"/>
        <rFont val="Arial"/>
        <family val="2"/>
      </rPr>
      <t>East</t>
    </r>
    <r>
      <rPr>
        <sz val="14"/>
        <rFont val="Arial"/>
        <family val="2"/>
      </rPr>
      <t xml:space="preserve"> region.</t>
    </r>
  </si>
  <si>
    <t>Ans :-Total 10250 sales made in the East region . =SUMIF(B118:B124, "East", E118:E124)</t>
  </si>
  <si>
    <r>
      <t>Task 10</t>
    </r>
    <r>
      <rPr>
        <sz val="14"/>
        <rFont val="Arial"/>
        <family val="2"/>
      </rPr>
      <t xml:space="preserve">: Use </t>
    </r>
    <r>
      <rPr>
        <sz val="14"/>
        <rFont val="Roboto Mono"/>
      </rPr>
      <t>SUMIFS()</t>
    </r>
    <r>
      <rPr>
        <sz val="14"/>
        <rFont val="Arial"/>
        <family val="2"/>
      </rPr>
      <t xml:space="preserve"> to calculate the total sales made by </t>
    </r>
    <r>
      <rPr>
        <b/>
        <sz val="14"/>
        <rFont val="Arial"/>
        <family val="2"/>
      </rPr>
      <t>Alice</t>
    </r>
    <r>
      <rPr>
        <sz val="14"/>
        <rFont val="Arial"/>
        <family val="2"/>
      </rPr>
      <t xml:space="preserve"> for </t>
    </r>
    <r>
      <rPr>
        <b/>
        <sz val="14"/>
        <rFont val="Arial"/>
        <family val="2"/>
      </rPr>
      <t>Laptops</t>
    </r>
    <r>
      <rPr>
        <sz val="14"/>
        <rFont val="Arial"/>
        <family val="2"/>
      </rPr>
      <t xml:space="preserve"> only.</t>
    </r>
  </si>
  <si>
    <t>Ans :-Total 10250 sales made in the East region . =SUMIFS(E133:E139,  C133:C139, "Alice", A133:A139, "Laptop")</t>
  </si>
  <si>
    <t>MAX</t>
  </si>
  <si>
    <t>MIN</t>
  </si>
  <si>
    <t>Ans :-MAX sale is 15000 =MAX(E149:E155) MIN sale is 250  =MIN(E149:E155)</t>
  </si>
  <si>
    <t>Ans:- Total 4 sales were made after 10-jan-2024.</t>
  </si>
  <si>
    <r>
      <rPr>
        <b/>
        <sz val="14"/>
        <color theme="1"/>
        <rFont val="Arial"/>
        <family val="2"/>
      </rPr>
      <t>Task 1</t>
    </r>
    <r>
      <rPr>
        <sz val="14"/>
        <color theme="1"/>
        <rFont val="Arial"/>
        <family val="2"/>
      </rPr>
      <t xml:space="preserve">: Sort the data by the </t>
    </r>
    <r>
      <rPr>
        <b/>
        <sz val="14"/>
        <color theme="1"/>
        <rFont val="Arial"/>
        <family val="2"/>
      </rPr>
      <t>Region</t>
    </r>
    <r>
      <rPr>
        <sz val="14"/>
        <color theme="1"/>
        <rFont val="Arial"/>
        <family val="2"/>
      </rPr>
      <t xml:space="preserve"> alphabetically (A-Z).</t>
    </r>
  </si>
  <si>
    <r>
      <rPr>
        <b/>
        <sz val="14"/>
        <color theme="1"/>
        <rFont val="Arial"/>
        <family val="2"/>
      </rPr>
      <t>Task 2</t>
    </r>
    <r>
      <rPr>
        <sz val="14"/>
        <color theme="1"/>
        <rFont val="Arial"/>
        <family val="2"/>
      </rPr>
      <t xml:space="preserve">: Sort the data by </t>
    </r>
    <r>
      <rPr>
        <b/>
        <sz val="14"/>
        <color theme="1"/>
        <rFont val="Arial"/>
        <family val="2"/>
      </rPr>
      <t>Sales ($)</t>
    </r>
    <r>
      <rPr>
        <sz val="14"/>
        <color theme="1"/>
        <rFont val="Arial"/>
        <family val="2"/>
      </rPr>
      <t xml:space="preserve"> from largest to smallest. Which sales rep made the highest sale?</t>
    </r>
  </si>
  <si>
    <r>
      <rPr>
        <b/>
        <sz val="14"/>
        <color theme="1"/>
        <rFont val="Arial"/>
        <family val="2"/>
      </rPr>
      <t>Task 3</t>
    </r>
    <r>
      <rPr>
        <sz val="14"/>
        <color theme="1"/>
        <rFont val="Arial"/>
        <family val="2"/>
      </rPr>
      <t xml:space="preserve">: Apply a filter to show only the data for </t>
    </r>
    <r>
      <rPr>
        <b/>
        <sz val="14"/>
        <color theme="1"/>
        <rFont val="Arial"/>
        <family val="2"/>
      </rPr>
      <t>Laptops</t>
    </r>
    <r>
      <rPr>
        <sz val="14"/>
        <color theme="1"/>
        <rFont val="Arial"/>
        <family val="2"/>
      </rPr>
      <t>. How many laptops were sold in total?</t>
    </r>
  </si>
  <si>
    <r>
      <rPr>
        <b/>
        <sz val="14"/>
        <color theme="1"/>
        <rFont val="Arial"/>
        <family val="2"/>
      </rPr>
      <t>Task 4</t>
    </r>
    <r>
      <rPr>
        <sz val="14"/>
        <color theme="1"/>
        <rFont val="Arial"/>
        <family val="2"/>
      </rPr>
      <t xml:space="preserve">: Filter the data to show sales that happened in the </t>
    </r>
    <r>
      <rPr>
        <b/>
        <sz val="14"/>
        <color theme="1"/>
        <rFont val="Arial"/>
        <family val="2"/>
      </rPr>
      <t>North</t>
    </r>
    <r>
      <rPr>
        <sz val="14"/>
        <color theme="1"/>
        <rFont val="Arial"/>
        <family val="2"/>
      </rPr>
      <t xml:space="preserve"> region. What are the total sales in the North?</t>
    </r>
  </si>
  <si>
    <r>
      <rPr>
        <sz val="14"/>
        <rFont val="Times New Roman"/>
        <family val="1"/>
      </rPr>
      <t xml:space="preserve"> </t>
    </r>
    <r>
      <rPr>
        <b/>
        <sz val="14"/>
        <rFont val="Arial"/>
        <family val="2"/>
      </rPr>
      <t>Task 11</t>
    </r>
    <r>
      <rPr>
        <sz val="14"/>
        <rFont val="Arial"/>
        <family val="2"/>
      </rPr>
      <t xml:space="preserve">: Use </t>
    </r>
    <r>
      <rPr>
        <sz val="14"/>
        <rFont val="Roboto Mono"/>
      </rPr>
      <t>MAX()</t>
    </r>
    <r>
      <rPr>
        <sz val="14"/>
        <rFont val="Arial"/>
        <family val="2"/>
      </rPr>
      <t xml:space="preserve"> to find the highest sale and </t>
    </r>
    <r>
      <rPr>
        <sz val="14"/>
        <rFont val="Roboto Mono"/>
      </rPr>
      <t>MIN()</t>
    </r>
    <r>
      <rPr>
        <sz val="14"/>
        <rFont val="Arial"/>
        <family val="2"/>
      </rPr>
      <t xml:space="preserve"> to find the lowest sale in the dataset.</t>
    </r>
  </si>
  <si>
    <r>
      <rPr>
        <b/>
        <sz val="14"/>
        <color theme="1"/>
        <rFont val="Arial"/>
        <family val="2"/>
      </rPr>
      <t>Task 12</t>
    </r>
    <r>
      <rPr>
        <sz val="14"/>
        <color theme="1"/>
        <rFont val="Arial"/>
        <family val="2"/>
      </rPr>
      <t xml:space="preserve">: Filter the data to show only sales after </t>
    </r>
    <r>
      <rPr>
        <b/>
        <sz val="14"/>
        <color theme="1"/>
        <rFont val="Arial"/>
        <family val="2"/>
      </rPr>
      <t>10-Jan-2024</t>
    </r>
    <r>
      <rPr>
        <sz val="14"/>
        <color theme="1"/>
        <rFont val="Arial"/>
        <family val="2"/>
      </rPr>
      <t>. How many sales were made after this date?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</si>
</sst>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name val="Roboto Mono"/>
    </font>
    <font>
      <b/>
      <sz val="14"/>
      <color theme="1"/>
      <name val="Aptos Narrow"/>
      <family val="2"/>
      <scheme val="minor"/>
    </font>
    <font>
      <sz val="14"/>
      <name val="Times New Roman"/>
      <family val="1"/>
    </font>
    <font>
      <sz val="14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horizontal="left" vertical="center" indent="6"/>
    </xf>
    <xf numFmtId="0" fontId="5" fillId="0" borderId="0" xfId="0" applyFont="1"/>
    <xf numFmtId="0" fontId="5" fillId="2" borderId="2" xfId="0" applyFont="1" applyFill="1" applyBorder="1"/>
    <xf numFmtId="0" fontId="5" fillId="2" borderId="0" xfId="0" applyFont="1" applyFill="1"/>
    <xf numFmtId="0" fontId="3" fillId="0" borderId="3" xfId="0" applyFont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1" fillId="2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/>
    </xf>
    <xf numFmtId="0" fontId="12" fillId="2" borderId="0" xfId="0" applyFont="1" applyFill="1"/>
    <xf numFmtId="0" fontId="8" fillId="2" borderId="0" xfId="0" applyFont="1" applyFill="1"/>
    <xf numFmtId="0" fontId="8" fillId="0" borderId="0" xfId="0" applyFont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1467-E9BB-4585-9F62-A72849CDF33B}">
  <sheetPr filterMode="1"/>
  <dimension ref="A1:K174"/>
  <sheetViews>
    <sheetView tabSelected="1" workbookViewId="0">
      <selection activeCell="A162" sqref="A162:K162"/>
    </sheetView>
  </sheetViews>
  <sheetFormatPr defaultColWidth="13.140625" defaultRowHeight="15" x14ac:dyDescent="0.25"/>
  <sheetData>
    <row r="1" spans="1:10" s="7" customFormat="1" ht="18.75" x14ac:dyDescent="0.3">
      <c r="A1" s="29" t="s">
        <v>20</v>
      </c>
      <c r="B1" s="29"/>
      <c r="C1" s="29"/>
      <c r="D1" s="29"/>
      <c r="E1" s="29"/>
      <c r="F1" s="29"/>
    </row>
    <row r="2" spans="1:10" s="7" customFormat="1" ht="18.75" x14ac:dyDescent="0.3">
      <c r="A2" s="28" t="s">
        <v>44</v>
      </c>
      <c r="B2" s="28"/>
      <c r="C2" s="28"/>
      <c r="D2" s="28"/>
      <c r="E2" s="28"/>
      <c r="F2" s="28"/>
    </row>
    <row r="3" spans="1:10" s="7" customFormat="1" ht="18.75" x14ac:dyDescent="0.3">
      <c r="A3" s="6"/>
      <c r="B3" s="8" t="s">
        <v>21</v>
      </c>
      <c r="C3" s="8"/>
      <c r="D3" s="8"/>
      <c r="E3" s="8"/>
      <c r="F3" s="9"/>
    </row>
    <row r="4" spans="1:1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10" x14ac:dyDescent="0.25">
      <c r="A5" s="2" t="s">
        <v>9</v>
      </c>
      <c r="B5" s="2" t="s">
        <v>10</v>
      </c>
      <c r="C5" s="2" t="s">
        <v>11</v>
      </c>
      <c r="D5" s="2">
        <v>25</v>
      </c>
      <c r="E5" s="2">
        <v>250</v>
      </c>
      <c r="F5" s="3">
        <v>45296</v>
      </c>
    </row>
    <row r="6" spans="1:10" x14ac:dyDescent="0.25">
      <c r="A6" s="2" t="s">
        <v>6</v>
      </c>
      <c r="B6" s="2" t="s">
        <v>10</v>
      </c>
      <c r="C6" s="2" t="s">
        <v>11</v>
      </c>
      <c r="D6" s="2">
        <v>10</v>
      </c>
      <c r="E6" s="2">
        <v>10000</v>
      </c>
      <c r="F6" s="3">
        <v>45303</v>
      </c>
    </row>
    <row r="7" spans="1:10" x14ac:dyDescent="0.25">
      <c r="A7" s="2" t="s">
        <v>6</v>
      </c>
      <c r="B7" s="2" t="s">
        <v>7</v>
      </c>
      <c r="C7" s="2" t="s">
        <v>8</v>
      </c>
      <c r="D7" s="2">
        <v>15</v>
      </c>
      <c r="E7" s="2">
        <v>15000</v>
      </c>
      <c r="F7" s="3">
        <v>45292</v>
      </c>
    </row>
    <row r="8" spans="1:10" x14ac:dyDescent="0.25">
      <c r="A8" s="2" t="s">
        <v>15</v>
      </c>
      <c r="B8" s="2" t="s">
        <v>7</v>
      </c>
      <c r="C8" s="2" t="s">
        <v>16</v>
      </c>
      <c r="D8" s="2">
        <v>22</v>
      </c>
      <c r="E8" s="2">
        <v>13200</v>
      </c>
      <c r="F8" s="3">
        <v>45309</v>
      </c>
    </row>
    <row r="9" spans="1:10" x14ac:dyDescent="0.25">
      <c r="A9" s="2" t="s">
        <v>17</v>
      </c>
      <c r="B9" s="2" t="s">
        <v>18</v>
      </c>
      <c r="C9" s="2" t="s">
        <v>19</v>
      </c>
      <c r="D9" s="2">
        <v>5</v>
      </c>
      <c r="E9" s="2">
        <v>2500</v>
      </c>
      <c r="F9" s="3">
        <v>45316</v>
      </c>
    </row>
    <row r="10" spans="1:10" x14ac:dyDescent="0.25">
      <c r="A10" s="2" t="s">
        <v>6</v>
      </c>
      <c r="B10" s="2" t="s">
        <v>18</v>
      </c>
      <c r="C10" s="2" t="s">
        <v>19</v>
      </c>
      <c r="D10" s="2">
        <v>8</v>
      </c>
      <c r="E10" s="2">
        <v>8000</v>
      </c>
      <c r="F10" s="3">
        <v>45321</v>
      </c>
    </row>
    <row r="11" spans="1:10" x14ac:dyDescent="0.25">
      <c r="A11" s="2" t="s">
        <v>12</v>
      </c>
      <c r="B11" s="2" t="s">
        <v>13</v>
      </c>
      <c r="C11" s="2" t="s">
        <v>14</v>
      </c>
      <c r="D11" s="2">
        <v>18</v>
      </c>
      <c r="E11" s="2">
        <v>540</v>
      </c>
      <c r="F11" s="3">
        <v>45301</v>
      </c>
    </row>
    <row r="14" spans="1:10" s="7" customFormat="1" ht="18.75" x14ac:dyDescent="0.3">
      <c r="A14" s="28" t="s">
        <v>45</v>
      </c>
      <c r="B14" s="28"/>
      <c r="C14" s="28"/>
      <c r="D14" s="28"/>
      <c r="E14" s="28"/>
      <c r="F14" s="28"/>
      <c r="G14" s="28"/>
      <c r="H14" s="28"/>
      <c r="I14" s="28"/>
      <c r="J14" s="28"/>
    </row>
    <row r="15" spans="1:10" s="7" customFormat="1" ht="18.75" x14ac:dyDescent="0.3">
      <c r="B15" s="8" t="s">
        <v>22</v>
      </c>
      <c r="C15" s="8"/>
      <c r="D15" s="8"/>
      <c r="E15" s="8"/>
      <c r="F15" s="9"/>
      <c r="G15" s="9"/>
      <c r="H15" s="9"/>
      <c r="I15" s="9"/>
      <c r="J15" s="9"/>
    </row>
    <row r="16" spans="1:10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10" x14ac:dyDescent="0.25">
      <c r="A17" s="2" t="s">
        <v>6</v>
      </c>
      <c r="B17" s="2" t="s">
        <v>7</v>
      </c>
      <c r="C17" s="2" t="s">
        <v>8</v>
      </c>
      <c r="D17" s="2">
        <v>15</v>
      </c>
      <c r="E17" s="2">
        <v>15000</v>
      </c>
      <c r="F17" s="3">
        <v>45292</v>
      </c>
    </row>
    <row r="18" spans="1:10" x14ac:dyDescent="0.25">
      <c r="A18" s="2" t="s">
        <v>15</v>
      </c>
      <c r="B18" s="2" t="s">
        <v>7</v>
      </c>
      <c r="C18" s="2" t="s">
        <v>16</v>
      </c>
      <c r="D18" s="2">
        <v>22</v>
      </c>
      <c r="E18" s="2">
        <v>13200</v>
      </c>
      <c r="F18" s="3">
        <v>45309</v>
      </c>
    </row>
    <row r="19" spans="1:10" x14ac:dyDescent="0.25">
      <c r="A19" s="2" t="s">
        <v>6</v>
      </c>
      <c r="B19" s="2" t="s">
        <v>10</v>
      </c>
      <c r="C19" s="2" t="s">
        <v>11</v>
      </c>
      <c r="D19" s="2">
        <v>10</v>
      </c>
      <c r="E19" s="2">
        <v>10000</v>
      </c>
      <c r="F19" s="3">
        <v>45303</v>
      </c>
    </row>
    <row r="20" spans="1:10" x14ac:dyDescent="0.25">
      <c r="A20" s="2" t="s">
        <v>6</v>
      </c>
      <c r="B20" s="2" t="s">
        <v>18</v>
      </c>
      <c r="C20" s="2" t="s">
        <v>19</v>
      </c>
      <c r="D20" s="2">
        <v>8</v>
      </c>
      <c r="E20" s="2">
        <v>8000</v>
      </c>
      <c r="F20" s="3">
        <v>45321</v>
      </c>
    </row>
    <row r="21" spans="1:10" x14ac:dyDescent="0.25">
      <c r="A21" s="2" t="s">
        <v>17</v>
      </c>
      <c r="B21" s="2" t="s">
        <v>18</v>
      </c>
      <c r="C21" s="2" t="s">
        <v>19</v>
      </c>
      <c r="D21" s="2">
        <v>5</v>
      </c>
      <c r="E21" s="2">
        <v>2500</v>
      </c>
      <c r="F21" s="3">
        <v>45316</v>
      </c>
    </row>
    <row r="22" spans="1:10" x14ac:dyDescent="0.25">
      <c r="A22" s="2" t="s">
        <v>12</v>
      </c>
      <c r="B22" s="2" t="s">
        <v>13</v>
      </c>
      <c r="C22" s="2" t="s">
        <v>14</v>
      </c>
      <c r="D22" s="2">
        <v>18</v>
      </c>
      <c r="E22" s="2">
        <v>540</v>
      </c>
      <c r="F22" s="3">
        <v>45301</v>
      </c>
    </row>
    <row r="23" spans="1:10" x14ac:dyDescent="0.25">
      <c r="A23" s="2" t="s">
        <v>9</v>
      </c>
      <c r="B23" s="2" t="s">
        <v>10</v>
      </c>
      <c r="C23" s="2" t="s">
        <v>11</v>
      </c>
      <c r="D23" s="2">
        <v>25</v>
      </c>
      <c r="E23" s="2">
        <v>250</v>
      </c>
      <c r="F23" s="3">
        <v>45296</v>
      </c>
    </row>
    <row r="26" spans="1:10" s="7" customFormat="1" ht="18.75" x14ac:dyDescent="0.3">
      <c r="A26" s="28" t="s">
        <v>46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s="7" customFormat="1" ht="18.75" x14ac:dyDescent="0.3">
      <c r="B27" s="8" t="s">
        <v>24</v>
      </c>
      <c r="C27" s="8"/>
      <c r="D27" s="8"/>
      <c r="E27" s="8"/>
      <c r="F27" s="9"/>
      <c r="G27" s="9"/>
      <c r="H27" s="9"/>
      <c r="I27" s="9"/>
      <c r="J27" s="9"/>
    </row>
    <row r="29" spans="1:10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</row>
    <row r="30" spans="1:10" x14ac:dyDescent="0.25">
      <c r="A30" s="2" t="s">
        <v>6</v>
      </c>
      <c r="B30" s="2" t="s">
        <v>7</v>
      </c>
      <c r="C30" s="2" t="s">
        <v>8</v>
      </c>
      <c r="D30" s="2">
        <v>15</v>
      </c>
      <c r="E30" s="2">
        <v>15000</v>
      </c>
      <c r="F30" s="3">
        <v>45292</v>
      </c>
    </row>
    <row r="31" spans="1:10" x14ac:dyDescent="0.25">
      <c r="A31" s="10" t="s">
        <v>15</v>
      </c>
      <c r="B31" s="10" t="s">
        <v>7</v>
      </c>
      <c r="C31" s="10" t="s">
        <v>16</v>
      </c>
      <c r="D31" s="10">
        <v>22</v>
      </c>
      <c r="E31" s="10">
        <v>13200</v>
      </c>
      <c r="F31" s="11">
        <v>45309</v>
      </c>
    </row>
    <row r="32" spans="1:10" x14ac:dyDescent="0.25">
      <c r="A32" s="2" t="s">
        <v>6</v>
      </c>
      <c r="B32" s="2" t="s">
        <v>10</v>
      </c>
      <c r="C32" s="2" t="s">
        <v>11</v>
      </c>
      <c r="D32" s="2">
        <v>10</v>
      </c>
      <c r="E32" s="2">
        <v>10000</v>
      </c>
      <c r="F32" s="3">
        <v>45303</v>
      </c>
    </row>
    <row r="33" spans="1:11" x14ac:dyDescent="0.25">
      <c r="A33" s="2" t="s">
        <v>6</v>
      </c>
      <c r="B33" s="2" t="s">
        <v>18</v>
      </c>
      <c r="C33" s="2" t="s">
        <v>19</v>
      </c>
      <c r="D33" s="2">
        <v>8</v>
      </c>
      <c r="E33" s="2">
        <v>8000</v>
      </c>
      <c r="F33" s="3">
        <v>45321</v>
      </c>
    </row>
    <row r="34" spans="1:11" x14ac:dyDescent="0.25">
      <c r="A34" s="10" t="s">
        <v>17</v>
      </c>
      <c r="B34" s="10" t="s">
        <v>18</v>
      </c>
      <c r="C34" s="10" t="s">
        <v>19</v>
      </c>
      <c r="D34" s="10">
        <v>5</v>
      </c>
      <c r="E34" s="10">
        <v>2500</v>
      </c>
      <c r="F34" s="11">
        <v>45316</v>
      </c>
    </row>
    <row r="35" spans="1:11" x14ac:dyDescent="0.25">
      <c r="A35" s="2" t="s">
        <v>12</v>
      </c>
      <c r="B35" s="2" t="s">
        <v>13</v>
      </c>
      <c r="C35" s="2" t="s">
        <v>14</v>
      </c>
      <c r="D35" s="2">
        <v>18</v>
      </c>
      <c r="E35" s="2">
        <v>540</v>
      </c>
      <c r="F35" s="3">
        <v>45301</v>
      </c>
    </row>
    <row r="36" spans="1:11" x14ac:dyDescent="0.25">
      <c r="A36" s="2" t="s">
        <v>9</v>
      </c>
      <c r="B36" s="2" t="s">
        <v>10</v>
      </c>
      <c r="C36" s="2" t="s">
        <v>11</v>
      </c>
      <c r="D36" s="2">
        <v>25</v>
      </c>
      <c r="E36" s="2">
        <v>250</v>
      </c>
      <c r="F36" s="3">
        <v>45296</v>
      </c>
    </row>
    <row r="37" spans="1:11" ht="15.75" x14ac:dyDescent="0.25">
      <c r="A37" s="12"/>
      <c r="B37" s="12"/>
      <c r="C37" s="12"/>
      <c r="D37" s="14" t="s">
        <v>23</v>
      </c>
      <c r="E37" s="15">
        <f>SUBTOTAL(9,E30:E36)</f>
        <v>49490</v>
      </c>
      <c r="F37" s="12"/>
    </row>
    <row r="40" spans="1:11" ht="18.75" customHeight="1" x14ac:dyDescent="0.25">
      <c r="A40" s="28" t="s">
        <v>47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 ht="18.75" x14ac:dyDescent="0.3">
      <c r="B41" s="8" t="s">
        <v>25</v>
      </c>
      <c r="C41" s="5"/>
      <c r="D41" s="5"/>
      <c r="E41" s="5"/>
      <c r="F41" s="5"/>
      <c r="G41" s="5"/>
      <c r="H41" s="5"/>
    </row>
    <row r="43" spans="1:11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</row>
    <row r="44" spans="1:11" x14ac:dyDescent="0.25">
      <c r="A44" s="2" t="s">
        <v>6</v>
      </c>
      <c r="B44" s="2" t="s">
        <v>7</v>
      </c>
      <c r="C44" s="2" t="s">
        <v>8</v>
      </c>
      <c r="D44" s="2">
        <v>15</v>
      </c>
      <c r="E44" s="2">
        <v>15000</v>
      </c>
      <c r="F44" s="3">
        <v>45292</v>
      </c>
    </row>
    <row r="45" spans="1:11" x14ac:dyDescent="0.25">
      <c r="A45" s="2" t="s">
        <v>15</v>
      </c>
      <c r="B45" s="2" t="s">
        <v>7</v>
      </c>
      <c r="C45" s="2" t="s">
        <v>16</v>
      </c>
      <c r="D45" s="2">
        <v>22</v>
      </c>
      <c r="E45" s="2">
        <v>13200</v>
      </c>
      <c r="F45" s="3">
        <v>45309</v>
      </c>
    </row>
    <row r="46" spans="1:11" x14ac:dyDescent="0.25">
      <c r="A46" s="2" t="s">
        <v>6</v>
      </c>
      <c r="B46" s="2" t="s">
        <v>10</v>
      </c>
      <c r="C46" s="2" t="s">
        <v>11</v>
      </c>
      <c r="D46" s="2">
        <v>10</v>
      </c>
      <c r="E46" s="2">
        <v>10000</v>
      </c>
      <c r="F46" s="3">
        <v>45303</v>
      </c>
    </row>
    <row r="47" spans="1:11" x14ac:dyDescent="0.25">
      <c r="A47" s="2" t="s">
        <v>6</v>
      </c>
      <c r="B47" s="2" t="s">
        <v>18</v>
      </c>
      <c r="C47" s="2" t="s">
        <v>19</v>
      </c>
      <c r="D47" s="2">
        <v>8</v>
      </c>
      <c r="E47" s="2">
        <v>8000</v>
      </c>
      <c r="F47" s="3">
        <v>45321</v>
      </c>
    </row>
    <row r="48" spans="1:11" x14ac:dyDescent="0.25">
      <c r="A48" s="2" t="s">
        <v>17</v>
      </c>
      <c r="B48" s="2" t="s">
        <v>18</v>
      </c>
      <c r="C48" s="2" t="s">
        <v>19</v>
      </c>
      <c r="D48" s="2">
        <v>5</v>
      </c>
      <c r="E48" s="2">
        <v>2500</v>
      </c>
      <c r="F48" s="3">
        <v>45316</v>
      </c>
    </row>
    <row r="49" spans="1:8" x14ac:dyDescent="0.25">
      <c r="A49" s="2" t="s">
        <v>12</v>
      </c>
      <c r="B49" s="2" t="s">
        <v>13</v>
      </c>
      <c r="C49" s="2" t="s">
        <v>14</v>
      </c>
      <c r="D49" s="2">
        <v>18</v>
      </c>
      <c r="E49" s="2">
        <v>540</v>
      </c>
      <c r="F49" s="3">
        <v>45301</v>
      </c>
    </row>
    <row r="50" spans="1:8" x14ac:dyDescent="0.25">
      <c r="A50" s="2" t="s">
        <v>9</v>
      </c>
      <c r="B50" s="2" t="s">
        <v>10</v>
      </c>
      <c r="C50" s="2" t="s">
        <v>11</v>
      </c>
      <c r="D50" s="2">
        <v>25</v>
      </c>
      <c r="E50" s="2">
        <v>250</v>
      </c>
      <c r="F50" s="3">
        <v>45296</v>
      </c>
    </row>
    <row r="51" spans="1:8" ht="15.75" x14ac:dyDescent="0.25">
      <c r="D51" s="13" t="s">
        <v>23</v>
      </c>
      <c r="E51" s="13">
        <f>SUBTOTAL(9,E44:E50)</f>
        <v>49490</v>
      </c>
    </row>
    <row r="55" spans="1:8" ht="20.25" x14ac:dyDescent="0.35">
      <c r="A55" s="30" t="s">
        <v>26</v>
      </c>
      <c r="B55" s="30"/>
      <c r="C55" s="30"/>
      <c r="D55" s="30"/>
      <c r="E55" s="30"/>
      <c r="F55" s="30"/>
      <c r="G55" s="30"/>
      <c r="H55" s="30"/>
    </row>
    <row r="56" spans="1:8" ht="18" customHeight="1" x14ac:dyDescent="0.25">
      <c r="A56" s="27" t="s">
        <v>27</v>
      </c>
      <c r="B56" s="27"/>
      <c r="C56" s="27"/>
      <c r="D56" s="27"/>
      <c r="E56" s="27"/>
      <c r="F56" s="27"/>
      <c r="G56" s="27"/>
    </row>
    <row r="57" spans="1:8" x14ac:dyDescent="0.25">
      <c r="A57" s="4"/>
    </row>
    <row r="58" spans="1: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</row>
    <row r="59" spans="1:8" x14ac:dyDescent="0.25">
      <c r="A59" s="2" t="s">
        <v>9</v>
      </c>
      <c r="B59" s="2" t="s">
        <v>10</v>
      </c>
      <c r="C59" s="2" t="s">
        <v>11</v>
      </c>
      <c r="D59" s="2">
        <v>25</v>
      </c>
      <c r="E59" s="2">
        <v>250</v>
      </c>
      <c r="F59" s="3">
        <v>45296</v>
      </c>
    </row>
    <row r="60" spans="1:8" x14ac:dyDescent="0.25">
      <c r="A60" s="2" t="s">
        <v>6</v>
      </c>
      <c r="B60" s="2" t="s">
        <v>10</v>
      </c>
      <c r="C60" s="2" t="s">
        <v>11</v>
      </c>
      <c r="D60" s="2">
        <v>10</v>
      </c>
      <c r="E60" s="2">
        <v>10000</v>
      </c>
      <c r="F60" s="3">
        <v>45303</v>
      </c>
    </row>
    <row r="61" spans="1:8" x14ac:dyDescent="0.25">
      <c r="A61" s="2" t="s">
        <v>6</v>
      </c>
      <c r="B61" s="2" t="s">
        <v>7</v>
      </c>
      <c r="C61" s="2" t="s">
        <v>8</v>
      </c>
      <c r="D61" s="2">
        <v>15</v>
      </c>
      <c r="E61" s="2">
        <v>15000</v>
      </c>
      <c r="F61" s="3">
        <v>45292</v>
      </c>
    </row>
    <row r="62" spans="1:8" x14ac:dyDescent="0.25">
      <c r="A62" s="2" t="s">
        <v>15</v>
      </c>
      <c r="B62" s="2" t="s">
        <v>7</v>
      </c>
      <c r="C62" s="2" t="s">
        <v>16</v>
      </c>
      <c r="D62" s="2">
        <v>22</v>
      </c>
      <c r="E62" s="2">
        <v>13200</v>
      </c>
      <c r="F62" s="3">
        <v>45309</v>
      </c>
    </row>
    <row r="63" spans="1:8" x14ac:dyDescent="0.25">
      <c r="A63" s="2" t="s">
        <v>17</v>
      </c>
      <c r="B63" s="2" t="s">
        <v>18</v>
      </c>
      <c r="C63" s="2" t="s">
        <v>19</v>
      </c>
      <c r="D63" s="2">
        <v>5</v>
      </c>
      <c r="E63" s="2">
        <v>2500</v>
      </c>
      <c r="F63" s="3">
        <v>45316</v>
      </c>
    </row>
    <row r="64" spans="1:8" x14ac:dyDescent="0.25">
      <c r="A64" s="2" t="s">
        <v>6</v>
      </c>
      <c r="B64" s="2" t="s">
        <v>18</v>
      </c>
      <c r="C64" s="2" t="s">
        <v>19</v>
      </c>
      <c r="D64" s="2">
        <v>8</v>
      </c>
      <c r="E64" s="2">
        <v>8000</v>
      </c>
      <c r="F64" s="3">
        <v>45321</v>
      </c>
    </row>
    <row r="65" spans="1:8" x14ac:dyDescent="0.25">
      <c r="A65" s="2" t="s">
        <v>12</v>
      </c>
      <c r="B65" s="2" t="s">
        <v>13</v>
      </c>
      <c r="C65" s="2" t="s">
        <v>14</v>
      </c>
      <c r="D65" s="2">
        <v>18</v>
      </c>
      <c r="E65" s="2">
        <v>540</v>
      </c>
      <c r="F65" s="3">
        <v>45301</v>
      </c>
    </row>
    <row r="67" spans="1:8" ht="18.75" x14ac:dyDescent="0.3">
      <c r="A67" s="22">
        <f>COUNTA(_xlfn.UNIQUE(A59:A65))</f>
        <v>5</v>
      </c>
      <c r="C67" s="16"/>
    </row>
    <row r="69" spans="1:8" ht="20.25" x14ac:dyDescent="0.35">
      <c r="A69" s="30" t="s">
        <v>28</v>
      </c>
      <c r="B69" s="30"/>
      <c r="C69" s="30"/>
      <c r="D69" s="30"/>
      <c r="E69" s="30"/>
      <c r="F69" s="30"/>
      <c r="G69" s="30"/>
      <c r="H69" s="30"/>
    </row>
    <row r="70" spans="1:8" ht="18" x14ac:dyDescent="0.25">
      <c r="A70" s="27" t="s">
        <v>30</v>
      </c>
      <c r="B70" s="27"/>
      <c r="C70" s="27"/>
      <c r="D70" s="27"/>
      <c r="E70" s="27"/>
      <c r="F70" s="27"/>
      <c r="G70" s="27"/>
    </row>
    <row r="72" spans="1: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</row>
    <row r="73" spans="1:8" x14ac:dyDescent="0.25">
      <c r="A73" s="2" t="s">
        <v>9</v>
      </c>
      <c r="B73" s="2" t="s">
        <v>10</v>
      </c>
      <c r="C73" s="2" t="s">
        <v>11</v>
      </c>
      <c r="D73" s="2">
        <v>25</v>
      </c>
      <c r="E73" s="2">
        <v>250</v>
      </c>
      <c r="F73" s="3">
        <v>45296</v>
      </c>
    </row>
    <row r="74" spans="1:8" x14ac:dyDescent="0.25">
      <c r="A74" s="2" t="s">
        <v>6</v>
      </c>
      <c r="B74" s="2" t="s">
        <v>10</v>
      </c>
      <c r="C74" s="2" t="s">
        <v>11</v>
      </c>
      <c r="D74" s="2">
        <v>10</v>
      </c>
      <c r="E74" s="2">
        <v>10000</v>
      </c>
      <c r="F74" s="3">
        <v>45303</v>
      </c>
    </row>
    <row r="75" spans="1:8" x14ac:dyDescent="0.25">
      <c r="A75" s="2" t="s">
        <v>6</v>
      </c>
      <c r="B75" s="2" t="s">
        <v>7</v>
      </c>
      <c r="C75" s="2" t="s">
        <v>8</v>
      </c>
      <c r="D75" s="2">
        <v>15</v>
      </c>
      <c r="E75" s="2">
        <v>15000</v>
      </c>
      <c r="F75" s="3">
        <v>45292</v>
      </c>
    </row>
    <row r="76" spans="1:8" x14ac:dyDescent="0.25">
      <c r="A76" s="2" t="s">
        <v>15</v>
      </c>
      <c r="B76" s="2" t="s">
        <v>7</v>
      </c>
      <c r="C76" s="2" t="s">
        <v>16</v>
      </c>
      <c r="D76" s="2">
        <v>22</v>
      </c>
      <c r="E76" s="2">
        <v>13200</v>
      </c>
      <c r="F76" s="3">
        <v>45309</v>
      </c>
    </row>
    <row r="77" spans="1:8" x14ac:dyDescent="0.25">
      <c r="A77" s="2" t="s">
        <v>17</v>
      </c>
      <c r="B77" s="2" t="s">
        <v>18</v>
      </c>
      <c r="C77" s="2" t="s">
        <v>19</v>
      </c>
      <c r="D77" s="2">
        <v>5</v>
      </c>
      <c r="E77" s="2">
        <v>2500</v>
      </c>
      <c r="F77" s="3">
        <v>45316</v>
      </c>
    </row>
    <row r="78" spans="1:8" x14ac:dyDescent="0.25">
      <c r="A78" s="2" t="s">
        <v>6</v>
      </c>
      <c r="B78" s="2" t="s">
        <v>18</v>
      </c>
      <c r="C78" s="2" t="s">
        <v>19</v>
      </c>
      <c r="D78" s="2">
        <v>8</v>
      </c>
      <c r="E78" s="2">
        <v>8000</v>
      </c>
      <c r="F78" s="3">
        <v>45321</v>
      </c>
    </row>
    <row r="79" spans="1:8" x14ac:dyDescent="0.25">
      <c r="A79" s="2" t="s">
        <v>12</v>
      </c>
      <c r="B79" s="2" t="s">
        <v>13</v>
      </c>
      <c r="C79" s="2" t="s">
        <v>14</v>
      </c>
      <c r="D79" s="2">
        <v>18</v>
      </c>
      <c r="E79" s="2">
        <v>540</v>
      </c>
      <c r="F79" s="3">
        <v>45301</v>
      </c>
    </row>
    <row r="81" spans="1:8" ht="18.75" x14ac:dyDescent="0.25">
      <c r="C81" s="19" t="s">
        <v>29</v>
      </c>
      <c r="D81" s="19">
        <f>SUM(D73:D79)</f>
        <v>103</v>
      </c>
    </row>
    <row r="84" spans="1:8" ht="20.25" x14ac:dyDescent="0.35">
      <c r="A84" s="30" t="s">
        <v>32</v>
      </c>
      <c r="B84" s="30"/>
      <c r="C84" s="30"/>
      <c r="D84" s="30"/>
      <c r="E84" s="30"/>
      <c r="F84" s="30"/>
      <c r="G84" s="30"/>
      <c r="H84" s="30"/>
    </row>
    <row r="85" spans="1:8" ht="18.75" x14ac:dyDescent="0.3">
      <c r="A85" s="25" t="s">
        <v>33</v>
      </c>
      <c r="B85" s="25"/>
      <c r="C85" s="25"/>
      <c r="D85" s="25"/>
      <c r="E85" s="25"/>
      <c r="F85" s="25"/>
    </row>
    <row r="87" spans="1: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8" x14ac:dyDescent="0.25">
      <c r="A88" s="2" t="s">
        <v>9</v>
      </c>
      <c r="B88" s="2" t="s">
        <v>10</v>
      </c>
      <c r="C88" s="2" t="s">
        <v>11</v>
      </c>
      <c r="D88" s="2">
        <v>25</v>
      </c>
      <c r="E88" s="2">
        <v>250</v>
      </c>
      <c r="F88" s="3">
        <v>45296</v>
      </c>
    </row>
    <row r="89" spans="1:8" x14ac:dyDescent="0.25">
      <c r="A89" s="2" t="s">
        <v>6</v>
      </c>
      <c r="B89" s="2" t="s">
        <v>10</v>
      </c>
      <c r="C89" s="2" t="s">
        <v>11</v>
      </c>
      <c r="D89" s="2">
        <v>10</v>
      </c>
      <c r="E89" s="2">
        <v>10000</v>
      </c>
      <c r="F89" s="3">
        <v>45303</v>
      </c>
    </row>
    <row r="90" spans="1:8" x14ac:dyDescent="0.25">
      <c r="A90" s="2" t="s">
        <v>6</v>
      </c>
      <c r="B90" s="2" t="s">
        <v>7</v>
      </c>
      <c r="C90" s="2" t="s">
        <v>8</v>
      </c>
      <c r="D90" s="2">
        <v>15</v>
      </c>
      <c r="E90" s="2">
        <v>15000</v>
      </c>
      <c r="F90" s="3">
        <v>45292</v>
      </c>
    </row>
    <row r="91" spans="1:8" x14ac:dyDescent="0.25">
      <c r="A91" s="2" t="s">
        <v>15</v>
      </c>
      <c r="B91" s="2" t="s">
        <v>7</v>
      </c>
      <c r="C91" s="2" t="s">
        <v>16</v>
      </c>
      <c r="D91" s="2">
        <v>22</v>
      </c>
      <c r="E91" s="2">
        <v>13200</v>
      </c>
      <c r="F91" s="3">
        <v>45309</v>
      </c>
    </row>
    <row r="92" spans="1:8" x14ac:dyDescent="0.25">
      <c r="A92" s="2" t="s">
        <v>17</v>
      </c>
      <c r="B92" s="2" t="s">
        <v>18</v>
      </c>
      <c r="C92" s="2" t="s">
        <v>19</v>
      </c>
      <c r="D92" s="2">
        <v>5</v>
      </c>
      <c r="E92" s="2">
        <v>2500</v>
      </c>
      <c r="F92" s="3">
        <v>45316</v>
      </c>
    </row>
    <row r="93" spans="1:8" x14ac:dyDescent="0.25">
      <c r="A93" s="2" t="s">
        <v>6</v>
      </c>
      <c r="B93" s="2" t="s">
        <v>18</v>
      </c>
      <c r="C93" s="2" t="s">
        <v>19</v>
      </c>
      <c r="D93" s="2">
        <v>8</v>
      </c>
      <c r="E93" s="2">
        <v>8000</v>
      </c>
      <c r="F93" s="3">
        <v>45321</v>
      </c>
    </row>
    <row r="94" spans="1:8" x14ac:dyDescent="0.25">
      <c r="A94" s="2" t="s">
        <v>12</v>
      </c>
      <c r="B94" s="2" t="s">
        <v>13</v>
      </c>
      <c r="C94" s="2" t="s">
        <v>14</v>
      </c>
      <c r="D94" s="2">
        <v>18</v>
      </c>
      <c r="E94" s="2">
        <v>540</v>
      </c>
      <c r="F94" s="3">
        <v>45301</v>
      </c>
    </row>
    <row r="96" spans="1:8" x14ac:dyDescent="0.25">
      <c r="C96" s="20" t="s">
        <v>31</v>
      </c>
      <c r="D96" s="21">
        <f>AVERAGE(D88:D94)</f>
        <v>14.714285714285714</v>
      </c>
    </row>
    <row r="99" spans="1:6" ht="20.25" x14ac:dyDescent="0.35">
      <c r="A99" s="30" t="s">
        <v>34</v>
      </c>
      <c r="B99" s="30"/>
      <c r="C99" s="30"/>
      <c r="D99" s="30"/>
      <c r="E99" s="30"/>
      <c r="F99" s="30"/>
    </row>
    <row r="100" spans="1:6" ht="18.75" x14ac:dyDescent="0.3">
      <c r="A100" s="25" t="s">
        <v>35</v>
      </c>
      <c r="B100" s="25"/>
      <c r="C100" s="25"/>
      <c r="D100" s="25"/>
      <c r="E100" s="25"/>
      <c r="F100" s="25"/>
    </row>
    <row r="102" spans="1:6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</row>
    <row r="103" spans="1:6" x14ac:dyDescent="0.25">
      <c r="A103" s="2" t="s">
        <v>9</v>
      </c>
      <c r="B103" s="2" t="s">
        <v>10</v>
      </c>
      <c r="C103" s="2" t="s">
        <v>11</v>
      </c>
      <c r="D103" s="2">
        <v>25</v>
      </c>
      <c r="E103" s="2">
        <v>250</v>
      </c>
      <c r="F103" s="3">
        <v>45296</v>
      </c>
    </row>
    <row r="104" spans="1:6" x14ac:dyDescent="0.25">
      <c r="A104" s="2" t="s">
        <v>6</v>
      </c>
      <c r="B104" s="2" t="s">
        <v>10</v>
      </c>
      <c r="C104" s="2" t="s">
        <v>11</v>
      </c>
      <c r="D104" s="2">
        <v>10</v>
      </c>
      <c r="E104" s="2">
        <v>10000</v>
      </c>
      <c r="F104" s="3">
        <v>45303</v>
      </c>
    </row>
    <row r="105" spans="1:6" x14ac:dyDescent="0.25">
      <c r="A105" s="2" t="s">
        <v>6</v>
      </c>
      <c r="B105" s="2" t="s">
        <v>7</v>
      </c>
      <c r="C105" s="2" t="s">
        <v>8</v>
      </c>
      <c r="D105" s="2">
        <v>15</v>
      </c>
      <c r="E105" s="2">
        <v>15000</v>
      </c>
      <c r="F105" s="3">
        <v>45292</v>
      </c>
    </row>
    <row r="106" spans="1:6" x14ac:dyDescent="0.25">
      <c r="A106" s="2" t="s">
        <v>15</v>
      </c>
      <c r="B106" s="2" t="s">
        <v>7</v>
      </c>
      <c r="C106" s="2" t="s">
        <v>16</v>
      </c>
      <c r="D106" s="2">
        <v>22</v>
      </c>
      <c r="E106" s="2">
        <v>13200</v>
      </c>
      <c r="F106" s="3">
        <v>45309</v>
      </c>
    </row>
    <row r="107" spans="1:6" x14ac:dyDescent="0.25">
      <c r="A107" s="2" t="s">
        <v>17</v>
      </c>
      <c r="B107" s="2" t="s">
        <v>18</v>
      </c>
      <c r="C107" s="2" t="s">
        <v>19</v>
      </c>
      <c r="D107" s="2">
        <v>5</v>
      </c>
      <c r="E107" s="2">
        <v>2500</v>
      </c>
      <c r="F107" s="3">
        <v>45316</v>
      </c>
    </row>
    <row r="108" spans="1:6" x14ac:dyDescent="0.25">
      <c r="A108" s="2" t="s">
        <v>6</v>
      </c>
      <c r="B108" s="2" t="s">
        <v>18</v>
      </c>
      <c r="C108" s="2" t="s">
        <v>19</v>
      </c>
      <c r="D108" s="2">
        <v>8</v>
      </c>
      <c r="E108" s="2">
        <v>8000</v>
      </c>
      <c r="F108" s="3">
        <v>45321</v>
      </c>
    </row>
    <row r="109" spans="1:6" x14ac:dyDescent="0.25">
      <c r="A109" s="2" t="s">
        <v>12</v>
      </c>
      <c r="B109" s="2" t="s">
        <v>13</v>
      </c>
      <c r="C109" s="2" t="s">
        <v>14</v>
      </c>
      <c r="D109" s="2">
        <v>18</v>
      </c>
      <c r="E109" s="2">
        <v>540</v>
      </c>
      <c r="F109" s="3">
        <v>45301</v>
      </c>
    </row>
    <row r="111" spans="1:6" x14ac:dyDescent="0.25">
      <c r="E111" s="18">
        <f>COUNTIF(C103:C109,"Alice")</f>
        <v>2</v>
      </c>
    </row>
    <row r="114" spans="1:7" ht="20.25" x14ac:dyDescent="0.35">
      <c r="A114" s="30" t="s">
        <v>36</v>
      </c>
      <c r="B114" s="30"/>
      <c r="C114" s="30"/>
      <c r="D114" s="30"/>
      <c r="E114" s="30"/>
      <c r="F114" s="30"/>
      <c r="G114" s="30"/>
    </row>
    <row r="115" spans="1:7" ht="18.75" x14ac:dyDescent="0.3">
      <c r="A115" s="25" t="s">
        <v>37</v>
      </c>
      <c r="B115" s="25"/>
      <c r="C115" s="25"/>
      <c r="D115" s="25"/>
      <c r="E115" s="25"/>
      <c r="F115" s="25"/>
      <c r="G115" s="25"/>
    </row>
    <row r="117" spans="1:7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7" x14ac:dyDescent="0.25">
      <c r="A118" s="2" t="s">
        <v>9</v>
      </c>
      <c r="B118" s="2" t="s">
        <v>10</v>
      </c>
      <c r="C118" s="2" t="s">
        <v>11</v>
      </c>
      <c r="D118" s="2">
        <v>25</v>
      </c>
      <c r="E118" s="2">
        <v>250</v>
      </c>
      <c r="F118" s="3">
        <v>45296</v>
      </c>
    </row>
    <row r="119" spans="1:7" x14ac:dyDescent="0.25">
      <c r="A119" s="2" t="s">
        <v>6</v>
      </c>
      <c r="B119" s="2" t="s">
        <v>10</v>
      </c>
      <c r="C119" s="2" t="s">
        <v>11</v>
      </c>
      <c r="D119" s="2">
        <v>10</v>
      </c>
      <c r="E119" s="2">
        <v>10000</v>
      </c>
      <c r="F119" s="3">
        <v>45303</v>
      </c>
    </row>
    <row r="120" spans="1:7" x14ac:dyDescent="0.25">
      <c r="A120" s="2" t="s">
        <v>6</v>
      </c>
      <c r="B120" s="2" t="s">
        <v>7</v>
      </c>
      <c r="C120" s="2" t="s">
        <v>8</v>
      </c>
      <c r="D120" s="2">
        <v>15</v>
      </c>
      <c r="E120" s="2">
        <v>15000</v>
      </c>
      <c r="F120" s="3">
        <v>45292</v>
      </c>
    </row>
    <row r="121" spans="1:7" x14ac:dyDescent="0.25">
      <c r="A121" s="2" t="s">
        <v>15</v>
      </c>
      <c r="B121" s="2" t="s">
        <v>7</v>
      </c>
      <c r="C121" s="2" t="s">
        <v>16</v>
      </c>
      <c r="D121" s="2">
        <v>22</v>
      </c>
      <c r="E121" s="2">
        <v>13200</v>
      </c>
      <c r="F121" s="3">
        <v>45309</v>
      </c>
    </row>
    <row r="122" spans="1:7" x14ac:dyDescent="0.25">
      <c r="A122" s="2" t="s">
        <v>17</v>
      </c>
      <c r="B122" s="2" t="s">
        <v>18</v>
      </c>
      <c r="C122" s="2" t="s">
        <v>19</v>
      </c>
      <c r="D122" s="2">
        <v>5</v>
      </c>
      <c r="E122" s="2">
        <v>2500</v>
      </c>
      <c r="F122" s="3">
        <v>45316</v>
      </c>
    </row>
    <row r="123" spans="1:7" x14ac:dyDescent="0.25">
      <c r="A123" s="2" t="s">
        <v>6</v>
      </c>
      <c r="B123" s="2" t="s">
        <v>18</v>
      </c>
      <c r="C123" s="2" t="s">
        <v>19</v>
      </c>
      <c r="D123" s="2">
        <v>8</v>
      </c>
      <c r="E123" s="2">
        <v>8000</v>
      </c>
      <c r="F123" s="3">
        <v>45321</v>
      </c>
    </row>
    <row r="124" spans="1:7" x14ac:dyDescent="0.25">
      <c r="A124" s="2" t="s">
        <v>12</v>
      </c>
      <c r="B124" s="2" t="s">
        <v>13</v>
      </c>
      <c r="C124" s="2" t="s">
        <v>14</v>
      </c>
      <c r="D124" s="2">
        <v>18</v>
      </c>
      <c r="E124" s="2">
        <v>540</v>
      </c>
      <c r="F124" s="3">
        <v>45301</v>
      </c>
    </row>
    <row r="126" spans="1:7" ht="15.75" x14ac:dyDescent="0.25">
      <c r="E126" s="17">
        <f>SUMIF(B118:B124, "East", E118:E124)</f>
        <v>10250</v>
      </c>
    </row>
    <row r="129" spans="1:9" ht="20.25" x14ac:dyDescent="0.35">
      <c r="A129" s="30" t="s">
        <v>38</v>
      </c>
      <c r="B129" s="30"/>
      <c r="C129" s="30"/>
      <c r="D129" s="30"/>
      <c r="E129" s="30"/>
      <c r="F129" s="30"/>
      <c r="G129" s="30"/>
      <c r="H129" s="30"/>
    </row>
    <row r="130" spans="1:9" ht="18.75" x14ac:dyDescent="0.3">
      <c r="A130" s="9" t="s">
        <v>39</v>
      </c>
      <c r="B130" s="9"/>
      <c r="C130" s="9"/>
      <c r="D130" s="9"/>
      <c r="E130" s="9"/>
      <c r="F130" s="9"/>
      <c r="G130" s="9"/>
      <c r="H130" s="5"/>
      <c r="I130" s="5"/>
    </row>
    <row r="132" spans="1:9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</row>
    <row r="133" spans="1:9" x14ac:dyDescent="0.25">
      <c r="A133" s="2" t="s">
        <v>9</v>
      </c>
      <c r="B133" s="2" t="s">
        <v>10</v>
      </c>
      <c r="C133" s="2" t="s">
        <v>11</v>
      </c>
      <c r="D133" s="2">
        <v>25</v>
      </c>
      <c r="E133" s="2">
        <v>250</v>
      </c>
      <c r="F133" s="3">
        <v>45296</v>
      </c>
    </row>
    <row r="134" spans="1:9" x14ac:dyDescent="0.25">
      <c r="A134" s="2" t="s">
        <v>6</v>
      </c>
      <c r="B134" s="2" t="s">
        <v>10</v>
      </c>
      <c r="C134" s="2" t="s">
        <v>11</v>
      </c>
      <c r="D134" s="2">
        <v>10</v>
      </c>
      <c r="E134" s="2">
        <v>10000</v>
      </c>
      <c r="F134" s="3">
        <v>45303</v>
      </c>
    </row>
    <row r="135" spans="1:9" x14ac:dyDescent="0.25">
      <c r="A135" s="2" t="s">
        <v>6</v>
      </c>
      <c r="B135" s="2" t="s">
        <v>7</v>
      </c>
      <c r="C135" s="2" t="s">
        <v>8</v>
      </c>
      <c r="D135" s="2">
        <v>15</v>
      </c>
      <c r="E135" s="2">
        <v>15000</v>
      </c>
      <c r="F135" s="3">
        <v>45292</v>
      </c>
    </row>
    <row r="136" spans="1:9" x14ac:dyDescent="0.25">
      <c r="A136" s="2" t="s">
        <v>15</v>
      </c>
      <c r="B136" s="2" t="s">
        <v>7</v>
      </c>
      <c r="C136" s="2" t="s">
        <v>16</v>
      </c>
      <c r="D136" s="2">
        <v>22</v>
      </c>
      <c r="E136" s="2">
        <v>13200</v>
      </c>
      <c r="F136" s="3">
        <v>45309</v>
      </c>
    </row>
    <row r="137" spans="1:9" x14ac:dyDescent="0.25">
      <c r="A137" s="2" t="s">
        <v>17</v>
      </c>
      <c r="B137" s="2" t="s">
        <v>18</v>
      </c>
      <c r="C137" s="2" t="s">
        <v>19</v>
      </c>
      <c r="D137" s="2">
        <v>5</v>
      </c>
      <c r="E137" s="2">
        <v>2500</v>
      </c>
      <c r="F137" s="3">
        <v>45316</v>
      </c>
    </row>
    <row r="138" spans="1:9" x14ac:dyDescent="0.25">
      <c r="A138" s="2" t="s">
        <v>6</v>
      </c>
      <c r="B138" s="2" t="s">
        <v>18</v>
      </c>
      <c r="C138" s="2" t="s">
        <v>19</v>
      </c>
      <c r="D138" s="2">
        <v>8</v>
      </c>
      <c r="E138" s="2">
        <v>8000</v>
      </c>
      <c r="F138" s="3">
        <v>45321</v>
      </c>
    </row>
    <row r="139" spans="1:9" x14ac:dyDescent="0.25">
      <c r="A139" s="2" t="s">
        <v>12</v>
      </c>
      <c r="B139" s="2" t="s">
        <v>13</v>
      </c>
      <c r="C139" s="2" t="s">
        <v>14</v>
      </c>
      <c r="D139" s="2">
        <v>18</v>
      </c>
      <c r="E139" s="2">
        <v>540</v>
      </c>
      <c r="F139" s="3">
        <v>45301</v>
      </c>
    </row>
    <row r="141" spans="1:9" x14ac:dyDescent="0.25">
      <c r="C141" s="18">
        <f>SUMIFS(E133:E139,  C133:C139,  "Alice", A133:A139, "Laptop")</f>
        <v>10000</v>
      </c>
    </row>
    <row r="144" spans="1:9" ht="20.25" x14ac:dyDescent="0.25">
      <c r="A144" s="31" t="s">
        <v>48</v>
      </c>
      <c r="B144" s="31"/>
      <c r="C144" s="31"/>
      <c r="D144" s="31"/>
      <c r="E144" s="31"/>
      <c r="F144" s="31"/>
      <c r="G144" s="31"/>
      <c r="H144" s="31"/>
      <c r="I144" s="31"/>
    </row>
    <row r="145" spans="1:9" ht="18.75" x14ac:dyDescent="0.3">
      <c r="A145" s="25" t="s">
        <v>42</v>
      </c>
      <c r="B145" s="25"/>
      <c r="C145" s="25"/>
      <c r="D145" s="25"/>
      <c r="E145" s="25"/>
      <c r="F145" s="25"/>
      <c r="G145" s="25"/>
      <c r="H145" s="25"/>
      <c r="I145" s="25"/>
    </row>
    <row r="148" spans="1:9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</row>
    <row r="149" spans="1:9" x14ac:dyDescent="0.25">
      <c r="A149" s="2" t="s">
        <v>9</v>
      </c>
      <c r="B149" s="2" t="s">
        <v>10</v>
      </c>
      <c r="C149" s="2" t="s">
        <v>11</v>
      </c>
      <c r="D149" s="2">
        <v>25</v>
      </c>
      <c r="E149" s="2">
        <v>250</v>
      </c>
      <c r="F149" s="3">
        <v>45296</v>
      </c>
    </row>
    <row r="150" spans="1:9" x14ac:dyDescent="0.25">
      <c r="A150" s="2" t="s">
        <v>6</v>
      </c>
      <c r="B150" s="2" t="s">
        <v>10</v>
      </c>
      <c r="C150" s="2" t="s">
        <v>11</v>
      </c>
      <c r="D150" s="2">
        <v>10</v>
      </c>
      <c r="E150" s="2">
        <v>10000</v>
      </c>
      <c r="F150" s="3">
        <v>45303</v>
      </c>
    </row>
    <row r="151" spans="1:9" x14ac:dyDescent="0.25">
      <c r="A151" s="2" t="s">
        <v>6</v>
      </c>
      <c r="B151" s="2" t="s">
        <v>7</v>
      </c>
      <c r="C151" s="2" t="s">
        <v>8</v>
      </c>
      <c r="D151" s="2">
        <v>15</v>
      </c>
      <c r="E151" s="2">
        <v>15000</v>
      </c>
      <c r="F151" s="3">
        <v>45292</v>
      </c>
    </row>
    <row r="152" spans="1:9" x14ac:dyDescent="0.25">
      <c r="A152" s="2" t="s">
        <v>15</v>
      </c>
      <c r="B152" s="2" t="s">
        <v>7</v>
      </c>
      <c r="C152" s="2" t="s">
        <v>16</v>
      </c>
      <c r="D152" s="2">
        <v>22</v>
      </c>
      <c r="E152" s="2">
        <v>13200</v>
      </c>
      <c r="F152" s="3">
        <v>45309</v>
      </c>
    </row>
    <row r="153" spans="1:9" x14ac:dyDescent="0.25">
      <c r="A153" s="2" t="s">
        <v>17</v>
      </c>
      <c r="B153" s="2" t="s">
        <v>18</v>
      </c>
      <c r="C153" s="2" t="s">
        <v>19</v>
      </c>
      <c r="D153" s="2">
        <v>5</v>
      </c>
      <c r="E153" s="2">
        <v>2500</v>
      </c>
      <c r="F153" s="3">
        <v>45316</v>
      </c>
    </row>
    <row r="154" spans="1:9" x14ac:dyDescent="0.25">
      <c r="A154" s="2" t="s">
        <v>6</v>
      </c>
      <c r="B154" s="2" t="s">
        <v>18</v>
      </c>
      <c r="C154" s="2" t="s">
        <v>19</v>
      </c>
      <c r="D154" s="2">
        <v>8</v>
      </c>
      <c r="E154" s="2">
        <v>8000</v>
      </c>
      <c r="F154" s="3">
        <v>45321</v>
      </c>
    </row>
    <row r="155" spans="1:9" x14ac:dyDescent="0.25">
      <c r="A155" s="2" t="s">
        <v>12</v>
      </c>
      <c r="B155" s="2" t="s">
        <v>13</v>
      </c>
      <c r="C155" s="2" t="s">
        <v>14</v>
      </c>
      <c r="D155" s="2">
        <v>18</v>
      </c>
      <c r="E155" s="2">
        <v>540</v>
      </c>
      <c r="F155" s="3">
        <v>45301</v>
      </c>
    </row>
    <row r="157" spans="1:9" ht="15.75" x14ac:dyDescent="0.25">
      <c r="D157" s="23" t="s">
        <v>40</v>
      </c>
      <c r="E157" s="23">
        <f>MAX(E149:E155)</f>
        <v>15000</v>
      </c>
    </row>
    <row r="158" spans="1:9" ht="15.75" x14ac:dyDescent="0.25">
      <c r="D158" s="23"/>
      <c r="E158" s="23"/>
    </row>
    <row r="159" spans="1:9" ht="15.75" x14ac:dyDescent="0.25">
      <c r="D159" s="23" t="s">
        <v>41</v>
      </c>
      <c r="E159" s="23">
        <f>MIN(E149:E155)</f>
        <v>250</v>
      </c>
    </row>
    <row r="162" spans="1:11" ht="21" customHeight="1" x14ac:dyDescent="0.25">
      <c r="A162" s="28" t="s">
        <v>49</v>
      </c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spans="1:11" ht="21" customHeight="1" x14ac:dyDescent="0.25">
      <c r="A163" s="26" t="s">
        <v>43</v>
      </c>
      <c r="B163" s="26"/>
      <c r="C163" s="26"/>
      <c r="D163" s="26"/>
      <c r="E163" s="26"/>
      <c r="F163" s="26"/>
      <c r="G163" s="26"/>
      <c r="H163" s="26"/>
      <c r="I163" s="26"/>
      <c r="J163" s="26"/>
    </row>
    <row r="165" spans="1:11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11" hidden="1" x14ac:dyDescent="0.25">
      <c r="A166" s="2" t="s">
        <v>9</v>
      </c>
      <c r="B166" s="2" t="s">
        <v>10</v>
      </c>
      <c r="C166" s="2" t="s">
        <v>11</v>
      </c>
      <c r="D166" s="2">
        <v>25</v>
      </c>
      <c r="E166" s="2">
        <v>250</v>
      </c>
      <c r="F166" s="3">
        <v>45296</v>
      </c>
    </row>
    <row r="167" spans="1:11" x14ac:dyDescent="0.25">
      <c r="A167" s="2" t="s">
        <v>6</v>
      </c>
      <c r="B167" s="2" t="s">
        <v>10</v>
      </c>
      <c r="C167" s="2" t="s">
        <v>11</v>
      </c>
      <c r="D167" s="2">
        <v>10</v>
      </c>
      <c r="E167" s="2">
        <v>10000</v>
      </c>
      <c r="F167" s="3">
        <v>45303</v>
      </c>
    </row>
    <row r="168" spans="1:11" hidden="1" x14ac:dyDescent="0.25">
      <c r="A168" s="2" t="s">
        <v>6</v>
      </c>
      <c r="B168" s="2" t="s">
        <v>7</v>
      </c>
      <c r="C168" s="2" t="s">
        <v>8</v>
      </c>
      <c r="D168" s="2">
        <v>15</v>
      </c>
      <c r="E168" s="2">
        <v>15000</v>
      </c>
      <c r="F168" s="3">
        <v>45292</v>
      </c>
    </row>
    <row r="169" spans="1:11" x14ac:dyDescent="0.25">
      <c r="A169" s="2" t="s">
        <v>15</v>
      </c>
      <c r="B169" s="2" t="s">
        <v>7</v>
      </c>
      <c r="C169" s="2" t="s">
        <v>16</v>
      </c>
      <c r="D169" s="2">
        <v>22</v>
      </c>
      <c r="E169" s="2">
        <v>13200</v>
      </c>
      <c r="F169" s="3">
        <v>45309</v>
      </c>
    </row>
    <row r="170" spans="1:11" x14ac:dyDescent="0.25">
      <c r="A170" s="2" t="s">
        <v>17</v>
      </c>
      <c r="B170" s="2" t="s">
        <v>18</v>
      </c>
      <c r="C170" s="2" t="s">
        <v>19</v>
      </c>
      <c r="D170" s="2">
        <v>5</v>
      </c>
      <c r="E170" s="2">
        <v>2500</v>
      </c>
      <c r="F170" s="3">
        <v>45316</v>
      </c>
    </row>
    <row r="171" spans="1:11" x14ac:dyDescent="0.25">
      <c r="A171" s="2" t="s">
        <v>6</v>
      </c>
      <c r="B171" s="2" t="s">
        <v>18</v>
      </c>
      <c r="C171" s="2" t="s">
        <v>19</v>
      </c>
      <c r="D171" s="2">
        <v>8</v>
      </c>
      <c r="E171" s="2">
        <v>8000</v>
      </c>
      <c r="F171" s="3">
        <v>45321</v>
      </c>
    </row>
    <row r="172" spans="1:11" hidden="1" x14ac:dyDescent="0.25">
      <c r="A172" s="2" t="s">
        <v>12</v>
      </c>
      <c r="B172" s="2" t="s">
        <v>13</v>
      </c>
      <c r="C172" s="2" t="s">
        <v>14</v>
      </c>
      <c r="D172" s="2">
        <v>18</v>
      </c>
      <c r="E172" s="2">
        <v>540</v>
      </c>
      <c r="F172" s="3">
        <v>45301</v>
      </c>
    </row>
    <row r="174" spans="1:11" ht="15.75" x14ac:dyDescent="0.25">
      <c r="C174" s="24"/>
      <c r="E174" s="24"/>
    </row>
  </sheetData>
  <autoFilter ref="A165:F172" xr:uid="{ED771467-E9BB-4585-9F62-A72849CDF33B}">
    <filterColumn colId="5">
      <filters>
        <dateGroupItem year="2024" month="1" day="12" dateTimeGrouping="day"/>
        <dateGroupItem year="2024" month="1" day="18" dateTimeGrouping="day"/>
        <dateGroupItem year="2024" month="1" day="25" dateTimeGrouping="day"/>
        <dateGroupItem year="2024" month="1" day="30" dateTimeGrouping="day"/>
      </filters>
    </filterColumn>
  </autoFilter>
  <sortState xmlns:xlrd2="http://schemas.microsoft.com/office/spreadsheetml/2017/richdata2" ref="A17:F23">
    <sortCondition descending="1" ref="E16:E23"/>
  </sortState>
  <mergeCells count="20">
    <mergeCell ref="A55:H55"/>
    <mergeCell ref="A69:H69"/>
    <mergeCell ref="A84:H84"/>
    <mergeCell ref="A99:F99"/>
    <mergeCell ref="A26:J26"/>
    <mergeCell ref="A14:J14"/>
    <mergeCell ref="A2:F2"/>
    <mergeCell ref="A1:F1"/>
    <mergeCell ref="A40:K40"/>
    <mergeCell ref="A115:G115"/>
    <mergeCell ref="A145:I145"/>
    <mergeCell ref="A163:J163"/>
    <mergeCell ref="A56:G56"/>
    <mergeCell ref="A70:G70"/>
    <mergeCell ref="A85:F85"/>
    <mergeCell ref="A100:F100"/>
    <mergeCell ref="A114:G114"/>
    <mergeCell ref="A129:H129"/>
    <mergeCell ref="A144:I144"/>
    <mergeCell ref="A162:K1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JINDE K. (2378152)</dc:creator>
  <cp:lastModifiedBy>BAGAL S. (2338228)</cp:lastModifiedBy>
  <cp:lastPrinted>2025-09-05T21:59:08Z</cp:lastPrinted>
  <dcterms:created xsi:type="dcterms:W3CDTF">2025-09-05T18:07:31Z</dcterms:created>
  <dcterms:modified xsi:type="dcterms:W3CDTF">2025-11-28T18:36:52Z</dcterms:modified>
</cp:coreProperties>
</file>